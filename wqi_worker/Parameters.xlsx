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sha\Downloads\"/>
    </mc:Choice>
  </mc:AlternateContent>
  <xr:revisionPtr revIDLastSave="0" documentId="8_{6C67EC23-D2A9-40D1-93EE-5BA1F64AD448}" xr6:coauthVersionLast="47" xr6:coauthVersionMax="47" xr10:uidLastSave="{00000000-0000-0000-0000-000000000000}"/>
  <bookViews>
    <workbookView xWindow="-108" yWindow="-108" windowWidth="23256" windowHeight="13896" firstSheet="3" activeTab="3" xr2:uid="{A90856E9-C609-4FAB-A1B6-2B592A3E6C69}"/>
  </bookViews>
  <sheets>
    <sheet name="Efficiency" sheetId="3" r:id="rId1"/>
    <sheet name="Cost" sheetId="2" r:id="rId2"/>
    <sheet name="Interval" sheetId="1" r:id="rId3"/>
    <sheet name="Essential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2" l="1"/>
</calcChain>
</file>

<file path=xl/sharedStrings.xml><?xml version="1.0" encoding="utf-8"?>
<sst xmlns="http://schemas.openxmlformats.org/spreadsheetml/2006/main" count="208" uniqueCount="113">
  <si>
    <t>Parameter</t>
  </si>
  <si>
    <t>Standard Value</t>
  </si>
  <si>
    <t>Ideal Value</t>
  </si>
  <si>
    <t>Source1</t>
  </si>
  <si>
    <t>Source2</t>
  </si>
  <si>
    <t>Dissolved Oxygen (DO) [mg/L]</t>
  </si>
  <si>
    <t>hspcb.org.in/uploads/ep_act_rules/eprotect_rules_1986.pdf</t>
  </si>
  <si>
    <t>Life Science Bulletin, Vol. 9(1) 2012 : 116-118 ISSN</t>
  </si>
  <si>
    <t>Upper Limit</t>
  </si>
  <si>
    <t>Source</t>
  </si>
  <si>
    <t>Aldrin [mg/L]</t>
  </si>
  <si>
    <t>cpcb.nic.in/who-guidelines-for-drinking-water-quality/</t>
  </si>
  <si>
    <t>Aluminium (Al) [mg/L]</t>
  </si>
  <si>
    <t>cpcb.nic.in/wqm/BIS_Drinking_Water_Specification.pdf</t>
  </si>
  <si>
    <t>Ammonia(NH3) Nitrogen [mg/L]</t>
  </si>
  <si>
    <t>Antimony (Sb) [mg/L]</t>
  </si>
  <si>
    <t>Arsenic (As) [mg/L]</t>
  </si>
  <si>
    <t>Barium (Ba) [mg/L]</t>
  </si>
  <si>
    <t>Benzene [mg/L]</t>
  </si>
  <si>
    <t>Benzene Hexachloride (BHC) [mg/L]</t>
  </si>
  <si>
    <t>dep.nj.gov/wp-content/uploads/standards/319-84-6.pdf</t>
  </si>
  <si>
    <t>Biochemical Oxygen Demand (BOD) over 5 days at 20° C [mg/L]</t>
  </si>
  <si>
    <t>eurofins.in/food-testing/blog/biochemical-oxygen-demand-bod/</t>
  </si>
  <si>
    <t>Biochemical Oxygen Demand (BOD) over 3 days at 27° C [mg/L]</t>
  </si>
  <si>
    <t>Boron (B) [mg/L]</t>
  </si>
  <si>
    <t>Bromate (BrO3) [mg/L]</t>
  </si>
  <si>
    <t>Bromodichloromethane (BDCM) [mg/L]</t>
  </si>
  <si>
    <t>Bromoform (CHBr3) [mg/L]</t>
  </si>
  <si>
    <t>Cadmium (Cd) [mg/L]</t>
  </si>
  <si>
    <t>Calcium (Ca) [mg/L]</t>
  </si>
  <si>
    <t>Carbofuran [mg/L]</t>
  </si>
  <si>
    <t>Carbon Tetrachloride (CCl4) [mg/L]</t>
  </si>
  <si>
    <t>Carbon-14 [Bq/L]</t>
  </si>
  <si>
    <t>https://www.iso.org/obp/ui/en/#iso:std:iso:13162</t>
  </si>
  <si>
    <t>Chemical Oxygen Demand (COD) [mg/L]</t>
  </si>
  <si>
    <t>Chlorate (ClO3) [mg/L]</t>
  </si>
  <si>
    <t>Chlordane [mg/L]</t>
  </si>
  <si>
    <t>Chlorine (Cl2) [mg/L]</t>
  </si>
  <si>
    <t>Chlorite (ClO2) [mg/L]</t>
  </si>
  <si>
    <t>Chlorophyll-a [mg/L]</t>
  </si>
  <si>
    <t>kdhe.ks.gov/DocumentCenter/View/9396/Chlorophyll---A-Criteria-for-Public-Water-Supply-Lakes-or-Reservoirs-PDF</t>
  </si>
  <si>
    <t>Chloroform (CHCl3) [mg/L]</t>
  </si>
  <si>
    <t>Chlorotoluron [mg/L]</t>
  </si>
  <si>
    <t>Chlorpyrifos [mg/L]</t>
  </si>
  <si>
    <t>Chromium (Cr) [mg/L]</t>
  </si>
  <si>
    <t>Copper (Cu) [mg/L]</t>
  </si>
  <si>
    <t>Cyanide (CN) [mg/L]</t>
  </si>
  <si>
    <t>Cynazine [mg/L]</t>
  </si>
  <si>
    <t>Dichloro-Diphenyl-Trichloroethane (DDT) [mg/L]</t>
  </si>
  <si>
    <t>Dieldrin [mg/L]</t>
  </si>
  <si>
    <t>Dimethonate [mg/L]</t>
  </si>
  <si>
    <t>Edetic acid (EDTA) [mg/L]</t>
  </si>
  <si>
    <t>Electrical Conductivity at 25° C [μS/cm]</t>
  </si>
  <si>
    <t>elibrarywcl.files.wordpress.com/2015/02/surface-water-quality-standards-as-per-is-2296.pdf</t>
  </si>
  <si>
    <t>Endosulfan [mg/L]</t>
  </si>
  <si>
    <t>Endrin [mg/L]</t>
  </si>
  <si>
    <t>Epichlorohydrin [mg/L]</t>
  </si>
  <si>
    <t>Ethyl Benzene [mg/L]</t>
  </si>
  <si>
    <t>Fecal Coliform [MPN/100mL]</t>
  </si>
  <si>
    <t>Fecal Streptococci [MPN/100mL]</t>
  </si>
  <si>
    <t>Fluoride (F) [mg/L]</t>
  </si>
  <si>
    <t>Iron (Fe) [mg/L]</t>
  </si>
  <si>
    <t>Isoproturon [mg/L]</t>
  </si>
  <si>
    <t>Lead (Pb) [mg/L]</t>
  </si>
  <si>
    <t>Lindane [mg/L]</t>
  </si>
  <si>
    <t>Magnesium (Mg) [mg/L]</t>
  </si>
  <si>
    <t>Manganese (Mn) [mg/L]</t>
  </si>
  <si>
    <t>Mercury (Hg) [mg/L]</t>
  </si>
  <si>
    <t>Molybdenum (Mo) [mg/L]</t>
  </si>
  <si>
    <t>Nickel (Ni) [mg/L]</t>
  </si>
  <si>
    <t>Nitrate (NO3) Nitrogen [mg/L]</t>
  </si>
  <si>
    <t>Nitrite(NO2) Nitrogen [mg/L]</t>
  </si>
  <si>
    <t>Orthophosphate Phosphorous [mg/L]</t>
  </si>
  <si>
    <t>ljea.org/2018-state-lake-james-watershed/chemical-analysis-water-quality/nutrients/</t>
  </si>
  <si>
    <t>Permethrin [mg/L]</t>
  </si>
  <si>
    <t>Phenols [mg/L]</t>
  </si>
  <si>
    <t>Polychlorinated Biphenyls (PCB) [mg/L]</t>
  </si>
  <si>
    <t>Polycyclic Aromatic Hydrocarbons (PAH) [mg/L]</t>
  </si>
  <si>
    <t>https://www.sciencedirect.com/science/article/pii/S0304389425006405</t>
  </si>
  <si>
    <t>Pyriproxyfen [mg/L]</t>
  </si>
  <si>
    <t>Radon (Rn) [Bq/L]</t>
  </si>
  <si>
    <t>sciencedirect.com/science/article/pii/S0265931X16304556</t>
  </si>
  <si>
    <t>Residual Sodium Carbonate (RSC) [mg/L]</t>
  </si>
  <si>
    <t>Selenium (Se) [mg/L]</t>
  </si>
  <si>
    <t>Silver (Ag) [mg/L]</t>
  </si>
  <si>
    <t>Sodium (Na) [mg/L]</t>
  </si>
  <si>
    <t>who.int/docs/default-source/wash-documents/wash-chemicals/sodium-background-document.pdf</t>
  </si>
  <si>
    <t>Sodium Adsorption Ratio (SAR)</t>
  </si>
  <si>
    <t>Strontium (Sr) [mg/L]</t>
  </si>
  <si>
    <t>sciencedirect.com/science/article/abs/pii/S0147651318307413</t>
  </si>
  <si>
    <t>Styrene [mg/L]</t>
  </si>
  <si>
    <t>Sulphate (SO4) [mg/L]</t>
  </si>
  <si>
    <t>Toluene [mg/L]</t>
  </si>
  <si>
    <t>Total Alkalinity as CaCO3 [mg/L]</t>
  </si>
  <si>
    <t>Total Coliforms [MPN/100mL]</t>
  </si>
  <si>
    <t>Total Dissolved Solids (TDS) [mg/L]</t>
  </si>
  <si>
    <t>Total Hardness as CaCO3 [mg/L]</t>
  </si>
  <si>
    <t>Total Organic Carbon [mg/L]</t>
  </si>
  <si>
    <t>puretecwater.com/wp-content/uploads/2024/01/water-quality-standards.pdf</t>
  </si>
  <si>
    <t>Total Phosphorus [mg/L]</t>
  </si>
  <si>
    <t>globalseafood.org/advocate/water-quality-standards-total-phosphorus/</t>
  </si>
  <si>
    <t>Total Suspended Solids (TSS) [mg/L]</t>
  </si>
  <si>
    <t>Tritium (H-3) [Bq/L]</t>
  </si>
  <si>
    <t>nrc.gov/docs/ml1029/ml102990104.pdf</t>
  </si>
  <si>
    <t>Turbidity [NTU]</t>
  </si>
  <si>
    <t>Uranium(U) [mg/L]</t>
  </si>
  <si>
    <t>Zinc (Zn) [mg/L]</t>
  </si>
  <si>
    <t>Lower Limit</t>
  </si>
  <si>
    <t>Bicarbonate (HCO3) [mg/L]</t>
  </si>
  <si>
    <t>doi.org/10.1063/1.5032006</t>
  </si>
  <si>
    <t>Chloramines [mg/L]</t>
  </si>
  <si>
    <t>Chloride (Cl) [mg/L]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</si>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</sst>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1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who.int/docs/default-source/wash-documents/wash-chemicals/sodium-background-document.pdf" TargetMode="External"/><Relationship Id="rId1" Type="http://schemas.openxmlformats.org/officeDocument/2006/relationships/hyperlink" Target="https://www.sciencedirect.com/science/article/pii/S030438942500640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63/1.50320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009D4-02F7-45EA-81AD-A3D972F9B5BF}">
  <dimension ref="A1:F9"/>
  <sheetViews>
    <sheetView workbookViewId="0">
      <selection activeCell="A2" sqref="A2"/>
    </sheetView>
  </sheetViews>
  <sheetFormatPr defaultColWidth="8.85546875" defaultRowHeight="14.45"/>
  <cols>
    <col min="1" max="1" width="25" style="1" customWidth="1"/>
    <col min="2" max="2" width="14.140625" style="1" customWidth="1"/>
    <col min="3" max="3" width="15" style="1" customWidth="1"/>
    <col min="4" max="4" width="51.140625" style="1" customWidth="1"/>
    <col min="5" max="5" width="50.140625" style="1" customWidth="1"/>
    <col min="6" max="6" width="9.140625" customWidth="1"/>
    <col min="7" max="16384" width="8.85546875" style="1"/>
  </cols>
  <sheetData>
    <row r="1" spans="1:5" s="5" customFormat="1" ht="22.1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>
      <c r="A2" s="1" t="s">
        <v>5</v>
      </c>
      <c r="B2" s="1">
        <v>5</v>
      </c>
      <c r="C2" s="1">
        <v>14.6</v>
      </c>
      <c r="D2" s="1" t="s">
        <v>6</v>
      </c>
      <c r="E2" s="1" t="s">
        <v>7</v>
      </c>
    </row>
    <row r="9" spans="1:5">
      <c r="C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649E4-5B62-46AE-955A-7A319A055639}">
  <dimension ref="A1:K83"/>
  <sheetViews>
    <sheetView zoomScale="101" workbookViewId="0"/>
  </sheetViews>
  <sheetFormatPr defaultColWidth="8.85546875" defaultRowHeight="14.45"/>
  <cols>
    <col min="1" max="1" width="55.7109375" style="3" customWidth="1"/>
    <col min="2" max="2" width="17.28515625" style="3" customWidth="1"/>
    <col min="3" max="3" width="85.85546875" style="3" customWidth="1"/>
    <col min="4" max="4" width="9.140625"/>
    <col min="5" max="8" width="8.85546875" style="3"/>
    <col min="9" max="9" width="9.5703125" style="3" customWidth="1"/>
    <col min="10" max="10" width="39.85546875" style="3" customWidth="1"/>
    <col min="11" max="11" width="11" style="3" bestFit="1" customWidth="1"/>
    <col min="12" max="16384" width="8.85546875" style="3"/>
  </cols>
  <sheetData>
    <row r="1" spans="1:11" s="5" customFormat="1" ht="26.45" customHeight="1">
      <c r="A1" s="5" t="s">
        <v>0</v>
      </c>
      <c r="B1" s="5" t="s">
        <v>8</v>
      </c>
      <c r="C1" s="5" t="s">
        <v>9</v>
      </c>
    </row>
    <row r="2" spans="1:11">
      <c r="A2" s="3" t="s">
        <v>10</v>
      </c>
      <c r="B2" s="3">
        <v>3.0000000000000001E-5</v>
      </c>
      <c r="C2" s="3" t="s">
        <v>11</v>
      </c>
    </row>
    <row r="3" spans="1:11">
      <c r="A3" s="3" t="s">
        <v>12</v>
      </c>
      <c r="B3" s="3">
        <v>0.03</v>
      </c>
      <c r="C3" s="3" t="s">
        <v>13</v>
      </c>
    </row>
    <row r="4" spans="1:11">
      <c r="A4" s="3" t="s">
        <v>14</v>
      </c>
      <c r="B4" s="3">
        <v>0.5</v>
      </c>
      <c r="C4" s="3" t="s">
        <v>13</v>
      </c>
    </row>
    <row r="5" spans="1:11">
      <c r="A5" s="3" t="s">
        <v>15</v>
      </c>
      <c r="B5" s="3">
        <v>0.02</v>
      </c>
      <c r="C5" s="3" t="s">
        <v>11</v>
      </c>
    </row>
    <row r="6" spans="1:11">
      <c r="A6" s="3" t="s">
        <v>16</v>
      </c>
      <c r="B6" s="3">
        <v>0.01</v>
      </c>
      <c r="C6" s="3" t="s">
        <v>11</v>
      </c>
    </row>
    <row r="7" spans="1:11">
      <c r="A7" s="3" t="s">
        <v>17</v>
      </c>
      <c r="B7" s="3">
        <v>0.7</v>
      </c>
      <c r="C7" s="3" t="s">
        <v>11</v>
      </c>
    </row>
    <row r="8" spans="1:11">
      <c r="A8" s="3" t="s">
        <v>18</v>
      </c>
      <c r="B8" s="3">
        <v>0.01</v>
      </c>
      <c r="C8" s="3" t="s">
        <v>11</v>
      </c>
    </row>
    <row r="9" spans="1:11">
      <c r="A9" s="3" t="s">
        <v>19</v>
      </c>
      <c r="B9" s="3">
        <v>6.0000000000000002E-6</v>
      </c>
      <c r="C9" s="3" t="s">
        <v>20</v>
      </c>
    </row>
    <row r="10" spans="1:11">
      <c r="A10" s="3" t="s">
        <v>21</v>
      </c>
      <c r="B10" s="3">
        <v>3</v>
      </c>
      <c r="C10" s="3" t="s">
        <v>22</v>
      </c>
    </row>
    <row r="11" spans="1:11">
      <c r="A11" s="3" t="s">
        <v>23</v>
      </c>
      <c r="B11" s="3">
        <v>3</v>
      </c>
      <c r="C11" s="3" t="s">
        <v>6</v>
      </c>
    </row>
    <row r="12" spans="1:11">
      <c r="A12" s="3" t="s">
        <v>24</v>
      </c>
      <c r="B12" s="3">
        <v>0.5</v>
      </c>
      <c r="C12" s="3" t="s">
        <v>11</v>
      </c>
      <c r="K12" s="3">
        <f>+K14</f>
        <v>0</v>
      </c>
    </row>
    <row r="13" spans="1:11">
      <c r="A13" s="3" t="s">
        <v>25</v>
      </c>
      <c r="B13" s="3">
        <v>0.01</v>
      </c>
      <c r="C13" s="3" t="s">
        <v>11</v>
      </c>
    </row>
    <row r="14" spans="1:11">
      <c r="A14" s="3" t="s">
        <v>26</v>
      </c>
      <c r="B14" s="3">
        <v>0.06</v>
      </c>
      <c r="C14" s="3" t="s">
        <v>11</v>
      </c>
    </row>
    <row r="15" spans="1:11">
      <c r="A15" s="3" t="s">
        <v>27</v>
      </c>
      <c r="B15" s="3">
        <v>0.1</v>
      </c>
      <c r="C15" s="3" t="s">
        <v>11</v>
      </c>
    </row>
    <row r="16" spans="1:11">
      <c r="A16" s="3" t="s">
        <v>28</v>
      </c>
      <c r="B16" s="3">
        <v>3.0000000000000001E-3</v>
      </c>
      <c r="C16" s="3" t="s">
        <v>11</v>
      </c>
    </row>
    <row r="17" spans="1:3">
      <c r="A17" s="3" t="s">
        <v>29</v>
      </c>
      <c r="B17" s="3">
        <v>75</v>
      </c>
      <c r="C17" s="3" t="s">
        <v>13</v>
      </c>
    </row>
    <row r="18" spans="1:3">
      <c r="A18" s="3" t="s">
        <v>30</v>
      </c>
      <c r="B18" s="3">
        <v>7.0000000000000001E-3</v>
      </c>
      <c r="C18" s="3" t="s">
        <v>11</v>
      </c>
    </row>
    <row r="19" spans="1:3">
      <c r="A19" s="3" t="s">
        <v>31</v>
      </c>
      <c r="B19" s="3">
        <v>4.0000000000000001E-3</v>
      </c>
      <c r="C19" s="3" t="s">
        <v>11</v>
      </c>
    </row>
    <row r="20" spans="1:3">
      <c r="A20" s="3" t="s">
        <v>32</v>
      </c>
      <c r="B20" s="3">
        <v>100</v>
      </c>
      <c r="C20" s="3" t="s">
        <v>33</v>
      </c>
    </row>
    <row r="21" spans="1:3">
      <c r="A21" s="3" t="s">
        <v>34</v>
      </c>
      <c r="B21" s="3">
        <v>250</v>
      </c>
      <c r="C21" s="3" t="s">
        <v>6</v>
      </c>
    </row>
    <row r="22" spans="1:3">
      <c r="A22" s="3" t="s">
        <v>35</v>
      </c>
      <c r="B22" s="3">
        <v>0.7</v>
      </c>
      <c r="C22" s="3" t="s">
        <v>11</v>
      </c>
    </row>
    <row r="23" spans="1:3">
      <c r="A23" s="3" t="s">
        <v>36</v>
      </c>
      <c r="B23" s="3">
        <v>2.0000000000000001E-4</v>
      </c>
      <c r="C23" s="3" t="s">
        <v>11</v>
      </c>
    </row>
    <row r="24" spans="1:3">
      <c r="A24" s="3" t="s">
        <v>37</v>
      </c>
      <c r="B24" s="3">
        <v>5</v>
      </c>
      <c r="C24" s="3" t="s">
        <v>11</v>
      </c>
    </row>
    <row r="25" spans="1:3">
      <c r="A25" s="3" t="s">
        <v>38</v>
      </c>
      <c r="B25" s="3">
        <v>0.7</v>
      </c>
      <c r="C25" s="3" t="s">
        <v>11</v>
      </c>
    </row>
    <row r="26" spans="1:3">
      <c r="A26" s="3" t="s">
        <v>39</v>
      </c>
      <c r="B26" s="3">
        <v>0.01</v>
      </c>
      <c r="C26" s="3" t="s">
        <v>40</v>
      </c>
    </row>
    <row r="27" spans="1:3">
      <c r="A27" s="3" t="s">
        <v>41</v>
      </c>
      <c r="B27" s="3">
        <v>0.3</v>
      </c>
      <c r="C27" s="3" t="s">
        <v>11</v>
      </c>
    </row>
    <row r="28" spans="1:3">
      <c r="A28" s="3" t="s">
        <v>42</v>
      </c>
      <c r="B28" s="3">
        <v>0.03</v>
      </c>
      <c r="C28" s="3" t="s">
        <v>11</v>
      </c>
    </row>
    <row r="29" spans="1:3">
      <c r="A29" s="3" t="s">
        <v>43</v>
      </c>
      <c r="B29" s="3">
        <v>0.03</v>
      </c>
      <c r="C29" s="3" t="s">
        <v>11</v>
      </c>
    </row>
    <row r="30" spans="1:3">
      <c r="A30" s="3" t="s">
        <v>44</v>
      </c>
      <c r="B30" s="3">
        <v>0.05</v>
      </c>
      <c r="C30" s="3" t="s">
        <v>11</v>
      </c>
    </row>
    <row r="31" spans="1:3">
      <c r="A31" s="3" t="s">
        <v>45</v>
      </c>
      <c r="B31" s="3">
        <v>2</v>
      </c>
      <c r="C31" s="3" t="s">
        <v>11</v>
      </c>
    </row>
    <row r="32" spans="1:3">
      <c r="A32" s="3" t="s">
        <v>46</v>
      </c>
      <c r="B32" s="3">
        <v>7.0000000000000007E-2</v>
      </c>
      <c r="C32" s="3" t="s">
        <v>11</v>
      </c>
    </row>
    <row r="33" spans="1:3">
      <c r="A33" s="3" t="s">
        <v>47</v>
      </c>
      <c r="B33" s="3">
        <v>5.9999999999999995E-4</v>
      </c>
      <c r="C33" s="3" t="s">
        <v>11</v>
      </c>
    </row>
    <row r="34" spans="1:3">
      <c r="A34" s="3" t="s">
        <v>48</v>
      </c>
      <c r="B34" s="3">
        <v>1E-3</v>
      </c>
      <c r="C34" s="3" t="s">
        <v>11</v>
      </c>
    </row>
    <row r="35" spans="1:3">
      <c r="A35" s="3" t="s">
        <v>49</v>
      </c>
      <c r="B35" s="3">
        <v>3.0000000000000001E-5</v>
      </c>
      <c r="C35" s="3" t="s">
        <v>11</v>
      </c>
    </row>
    <row r="36" spans="1:3">
      <c r="A36" s="3" t="s">
        <v>50</v>
      </c>
      <c r="B36" s="3">
        <v>6.0000000000000001E-3</v>
      </c>
      <c r="C36" s="3" t="s">
        <v>11</v>
      </c>
    </row>
    <row r="37" spans="1:3">
      <c r="A37" s="3" t="s">
        <v>51</v>
      </c>
      <c r="B37" s="3">
        <v>0.6</v>
      </c>
      <c r="C37" s="3" t="s">
        <v>11</v>
      </c>
    </row>
    <row r="38" spans="1:3">
      <c r="A38" s="3" t="s">
        <v>52</v>
      </c>
      <c r="B38" s="3">
        <v>1000</v>
      </c>
      <c r="C38" s="3" t="s">
        <v>53</v>
      </c>
    </row>
    <row r="39" spans="1:3">
      <c r="A39" s="3" t="s">
        <v>54</v>
      </c>
      <c r="B39" s="3">
        <v>4.0000000000000002E-4</v>
      </c>
      <c r="C39" s="3" t="s">
        <v>13</v>
      </c>
    </row>
    <row r="40" spans="1:3">
      <c r="A40" s="3" t="s">
        <v>55</v>
      </c>
      <c r="B40" s="3">
        <v>5.9999999999999995E-4</v>
      </c>
      <c r="C40" s="3" t="s">
        <v>11</v>
      </c>
    </row>
    <row r="41" spans="1:3">
      <c r="A41" s="3" t="s">
        <v>56</v>
      </c>
      <c r="B41" s="3">
        <v>4.0000000000000002E-4</v>
      </c>
      <c r="C41" s="3" t="s">
        <v>11</v>
      </c>
    </row>
    <row r="42" spans="1:3">
      <c r="A42" s="3" t="s">
        <v>57</v>
      </c>
      <c r="B42" s="3">
        <v>0.3</v>
      </c>
      <c r="C42" s="3" t="s">
        <v>11</v>
      </c>
    </row>
    <row r="43" spans="1:3">
      <c r="A43" s="3" t="s">
        <v>58</v>
      </c>
      <c r="B43" s="3">
        <v>1</v>
      </c>
      <c r="C43" s="3" t="s">
        <v>13</v>
      </c>
    </row>
    <row r="44" spans="1:3">
      <c r="A44" s="3" t="s">
        <v>59</v>
      </c>
      <c r="B44" s="3">
        <v>1</v>
      </c>
      <c r="C44" s="3" t="s">
        <v>13</v>
      </c>
    </row>
    <row r="45" spans="1:3">
      <c r="A45" s="3" t="s">
        <v>60</v>
      </c>
      <c r="B45" s="3">
        <v>1.5</v>
      </c>
      <c r="C45" s="3" t="s">
        <v>11</v>
      </c>
    </row>
    <row r="46" spans="1:3">
      <c r="A46" s="3" t="s">
        <v>61</v>
      </c>
      <c r="B46" s="3">
        <v>0.3</v>
      </c>
      <c r="C46" s="3" t="s">
        <v>13</v>
      </c>
    </row>
    <row r="47" spans="1:3">
      <c r="A47" s="3" t="s">
        <v>62</v>
      </c>
      <c r="B47" s="3">
        <v>8.9999999999999993E-3</v>
      </c>
      <c r="C47" s="3" t="s">
        <v>11</v>
      </c>
    </row>
    <row r="48" spans="1:3">
      <c r="A48" s="3" t="s">
        <v>63</v>
      </c>
      <c r="B48" s="3">
        <v>0.01</v>
      </c>
      <c r="C48" s="3" t="s">
        <v>11</v>
      </c>
    </row>
    <row r="49" spans="1:3">
      <c r="A49" s="3" t="s">
        <v>64</v>
      </c>
      <c r="B49" s="3">
        <v>2E-3</v>
      </c>
      <c r="C49" s="3" t="s">
        <v>11</v>
      </c>
    </row>
    <row r="50" spans="1:3">
      <c r="A50" s="3" t="s">
        <v>65</v>
      </c>
      <c r="B50" s="3">
        <v>30</v>
      </c>
      <c r="C50" s="3" t="s">
        <v>13</v>
      </c>
    </row>
    <row r="51" spans="1:3">
      <c r="A51" s="3" t="s">
        <v>66</v>
      </c>
      <c r="B51" s="3">
        <v>0.4</v>
      </c>
      <c r="C51" s="3" t="s">
        <v>11</v>
      </c>
    </row>
    <row r="52" spans="1:3">
      <c r="A52" s="3" t="s">
        <v>67</v>
      </c>
      <c r="B52" s="3">
        <v>6.0000000000000001E-3</v>
      </c>
      <c r="C52" s="3" t="s">
        <v>11</v>
      </c>
    </row>
    <row r="53" spans="1:3">
      <c r="A53" s="3" t="s">
        <v>68</v>
      </c>
      <c r="B53" s="3">
        <v>7.0000000000000007E-2</v>
      </c>
      <c r="C53" s="3" t="s">
        <v>11</v>
      </c>
    </row>
    <row r="54" spans="1:3">
      <c r="A54" s="3" t="s">
        <v>69</v>
      </c>
      <c r="B54" s="3">
        <v>7.0000000000000007E-2</v>
      </c>
      <c r="C54" s="3" t="s">
        <v>11</v>
      </c>
    </row>
    <row r="55" spans="1:3">
      <c r="A55" s="3" t="s">
        <v>70</v>
      </c>
      <c r="B55" s="3">
        <v>11.29</v>
      </c>
      <c r="C55" s="3" t="s">
        <v>11</v>
      </c>
    </row>
    <row r="56" spans="1:3">
      <c r="A56" s="3" t="s">
        <v>71</v>
      </c>
      <c r="B56" s="3">
        <v>0.91300000000000003</v>
      </c>
      <c r="C56" s="3" t="s">
        <v>11</v>
      </c>
    </row>
    <row r="57" spans="1:3">
      <c r="A57" s="3" t="s">
        <v>72</v>
      </c>
      <c r="B57" s="3">
        <v>0.15</v>
      </c>
      <c r="C57" s="3" t="s">
        <v>73</v>
      </c>
    </row>
    <row r="58" spans="1:3">
      <c r="A58" s="3" t="s">
        <v>74</v>
      </c>
      <c r="B58" s="3">
        <v>0.3</v>
      </c>
      <c r="C58" s="3" t="s">
        <v>11</v>
      </c>
    </row>
    <row r="59" spans="1:3">
      <c r="A59" s="3" t="s">
        <v>75</v>
      </c>
      <c r="B59" s="3">
        <v>1E-3</v>
      </c>
      <c r="C59" s="3" t="s">
        <v>13</v>
      </c>
    </row>
    <row r="60" spans="1:3">
      <c r="A60" s="3" t="s">
        <v>76</v>
      </c>
      <c r="B60" s="3">
        <v>5.0000000000000001E-4</v>
      </c>
      <c r="C60" s="3" t="s">
        <v>13</v>
      </c>
    </row>
    <row r="61" spans="1:3">
      <c r="A61" s="3" t="s">
        <v>77</v>
      </c>
      <c r="B61" s="3">
        <v>1.6999999999999999E-7</v>
      </c>
      <c r="C61" s="4" t="s">
        <v>78</v>
      </c>
    </row>
    <row r="62" spans="1:3">
      <c r="A62" s="3" t="s">
        <v>79</v>
      </c>
      <c r="B62" s="3">
        <v>0.3</v>
      </c>
      <c r="C62" s="3" t="s">
        <v>11</v>
      </c>
    </row>
    <row r="63" spans="1:3">
      <c r="A63" s="3" t="s">
        <v>80</v>
      </c>
      <c r="B63" s="3">
        <v>100</v>
      </c>
      <c r="C63" s="3" t="s">
        <v>81</v>
      </c>
    </row>
    <row r="64" spans="1:3">
      <c r="A64" s="3" t="s">
        <v>82</v>
      </c>
      <c r="B64" s="3">
        <v>5</v>
      </c>
      <c r="C64" s="3" t="s">
        <v>6</v>
      </c>
    </row>
    <row r="65" spans="1:3">
      <c r="A65" s="3" t="s">
        <v>83</v>
      </c>
      <c r="B65" s="3">
        <v>0.01</v>
      </c>
      <c r="C65" s="3" t="s">
        <v>11</v>
      </c>
    </row>
    <row r="66" spans="1:3">
      <c r="A66" s="3" t="s">
        <v>84</v>
      </c>
      <c r="B66" s="3">
        <v>0.1</v>
      </c>
      <c r="C66" s="3" t="s">
        <v>13</v>
      </c>
    </row>
    <row r="67" spans="1:3">
      <c r="A67" s="3" t="s">
        <v>85</v>
      </c>
      <c r="B67" s="3">
        <v>200</v>
      </c>
      <c r="C67" s="4" t="s">
        <v>86</v>
      </c>
    </row>
    <row r="68" spans="1:3">
      <c r="A68" s="3" t="s">
        <v>87</v>
      </c>
      <c r="B68" s="3">
        <v>26</v>
      </c>
      <c r="C68" s="3" t="s">
        <v>53</v>
      </c>
    </row>
    <row r="69" spans="1:3">
      <c r="A69" s="3" t="s">
        <v>88</v>
      </c>
      <c r="B69" s="3">
        <v>1.5</v>
      </c>
      <c r="C69" s="3" t="s">
        <v>89</v>
      </c>
    </row>
    <row r="70" spans="1:3">
      <c r="A70" s="3" t="s">
        <v>90</v>
      </c>
      <c r="B70" s="3">
        <v>0.02</v>
      </c>
      <c r="C70" s="3" t="s">
        <v>11</v>
      </c>
    </row>
    <row r="71" spans="1:3">
      <c r="A71" s="3" t="s">
        <v>91</v>
      </c>
      <c r="B71" s="3">
        <v>200</v>
      </c>
      <c r="C71" s="3" t="s">
        <v>13</v>
      </c>
    </row>
    <row r="72" spans="1:3">
      <c r="A72" s="3" t="s">
        <v>92</v>
      </c>
      <c r="B72" s="3">
        <v>0.7</v>
      </c>
      <c r="C72" s="3" t="s">
        <v>11</v>
      </c>
    </row>
    <row r="73" spans="1:3">
      <c r="A73" s="3" t="s">
        <v>93</v>
      </c>
      <c r="B73" s="3">
        <v>200</v>
      </c>
      <c r="C73" s="3" t="s">
        <v>13</v>
      </c>
    </row>
    <row r="74" spans="1:3">
      <c r="A74" s="3" t="s">
        <v>94</v>
      </c>
      <c r="B74" s="3">
        <v>1</v>
      </c>
      <c r="C74" s="3" t="s">
        <v>13</v>
      </c>
    </row>
    <row r="75" spans="1:3">
      <c r="A75" s="3" t="s">
        <v>95</v>
      </c>
      <c r="B75" s="3">
        <v>500</v>
      </c>
      <c r="C75" s="3" t="s">
        <v>13</v>
      </c>
    </row>
    <row r="76" spans="1:3">
      <c r="A76" s="3" t="s">
        <v>96</v>
      </c>
      <c r="B76" s="3">
        <v>200</v>
      </c>
      <c r="C76" s="3" t="s">
        <v>13</v>
      </c>
    </row>
    <row r="77" spans="1:3">
      <c r="A77" s="3" t="s">
        <v>97</v>
      </c>
      <c r="B77" s="3">
        <v>0.01</v>
      </c>
      <c r="C77" s="3" t="s">
        <v>98</v>
      </c>
    </row>
    <row r="78" spans="1:3">
      <c r="A78" s="3" t="s">
        <v>99</v>
      </c>
      <c r="B78" s="3">
        <v>0.3</v>
      </c>
      <c r="C78" s="3" t="s">
        <v>100</v>
      </c>
    </row>
    <row r="79" spans="1:3">
      <c r="A79" s="3" t="s">
        <v>101</v>
      </c>
      <c r="B79" s="3">
        <v>100</v>
      </c>
      <c r="C79" s="3" t="s">
        <v>6</v>
      </c>
    </row>
    <row r="80" spans="1:3">
      <c r="A80" s="3" t="s">
        <v>102</v>
      </c>
      <c r="B80" s="3">
        <v>7000</v>
      </c>
      <c r="C80" s="3" t="s">
        <v>103</v>
      </c>
    </row>
    <row r="81" spans="1:3">
      <c r="A81" s="3" t="s">
        <v>104</v>
      </c>
      <c r="B81" s="3">
        <v>1</v>
      </c>
      <c r="C81" s="3" t="s">
        <v>13</v>
      </c>
    </row>
    <row r="82" spans="1:3">
      <c r="A82" s="3" t="s">
        <v>105</v>
      </c>
      <c r="B82" s="3">
        <v>1.4999999999999999E-2</v>
      </c>
      <c r="C82" s="3" t="s">
        <v>11</v>
      </c>
    </row>
    <row r="83" spans="1:3">
      <c r="A83" s="3" t="s">
        <v>106</v>
      </c>
      <c r="B83" s="3">
        <v>5</v>
      </c>
      <c r="C83" s="3" t="s">
        <v>13</v>
      </c>
    </row>
  </sheetData>
  <sortState xmlns:xlrd2="http://schemas.microsoft.com/office/spreadsheetml/2017/richdata2" ref="A2:D83">
    <sortCondition ref="A2:A83"/>
  </sortState>
  <hyperlinks>
    <hyperlink ref="C61" r:id="rId1" xr:uid="{39A53B1F-C619-4FA8-9A32-1BCE48CD6787}"/>
    <hyperlink ref="C67" r:id="rId2" display="https://www.who.int/docs/default-source/wash-documents/wash-chemicals/sodium-background-document.pdf" xr:uid="{37879C77-097D-426D-9EC3-C68E87F860F3}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9E5A7-18B9-480F-B66F-8F22AC62EC04}">
  <dimension ref="A1:E5"/>
  <sheetViews>
    <sheetView workbookViewId="0">
      <selection activeCell="F8" sqref="F8"/>
    </sheetView>
  </sheetViews>
  <sheetFormatPr defaultColWidth="8.85546875" defaultRowHeight="14.45"/>
  <cols>
    <col min="1" max="1" width="29.5703125" style="1" customWidth="1"/>
    <col min="2" max="2" width="11.28515625" style="1" customWidth="1"/>
    <col min="3" max="3" width="11.7109375" style="1" customWidth="1"/>
    <col min="4" max="4" width="8.85546875" style="1"/>
    <col min="5" max="5" width="9.140625"/>
    <col min="6" max="6" width="8.85546875" style="1"/>
    <col min="7" max="7" width="42.7109375" style="1" customWidth="1"/>
    <col min="8" max="16384" width="8.85546875" style="1"/>
  </cols>
  <sheetData>
    <row r="1" spans="1:4" s="5" customFormat="1" ht="22.9" customHeight="1">
      <c r="A1" s="5" t="s">
        <v>0</v>
      </c>
      <c r="B1" s="5" t="s">
        <v>107</v>
      </c>
      <c r="C1" s="5" t="s">
        <v>8</v>
      </c>
      <c r="D1" s="5" t="s">
        <v>9</v>
      </c>
    </row>
    <row r="2" spans="1:4">
      <c r="A2" s="1" t="s">
        <v>108</v>
      </c>
      <c r="B2" s="1">
        <v>200</v>
      </c>
      <c r="C2" s="1">
        <v>600</v>
      </c>
      <c r="D2" s="2" t="s">
        <v>109</v>
      </c>
    </row>
    <row r="3" spans="1:4">
      <c r="A3" s="1" t="s">
        <v>110</v>
      </c>
      <c r="B3" s="1">
        <v>0.5</v>
      </c>
      <c r="C3" s="1">
        <v>1.5</v>
      </c>
      <c r="D3" s="1" t="s">
        <v>11</v>
      </c>
    </row>
    <row r="4" spans="1:4">
      <c r="A4" s="1" t="s">
        <v>111</v>
      </c>
      <c r="B4" s="1">
        <v>200</v>
      </c>
      <c r="C4" s="1">
        <v>300</v>
      </c>
      <c r="D4" s="1" t="s">
        <v>11</v>
      </c>
    </row>
    <row r="5" spans="1:4">
      <c r="A5" s="1" t="s">
        <v>112</v>
      </c>
      <c r="B5" s="1">
        <v>6.5</v>
      </c>
      <c r="C5" s="1">
        <v>8.5</v>
      </c>
      <c r="D5" s="1" t="s">
        <v>13</v>
      </c>
    </row>
  </sheetData>
  <sortState xmlns:xlrd2="http://schemas.microsoft.com/office/spreadsheetml/2017/richdata2" ref="A2:G5">
    <sortCondition ref="A2:A5"/>
  </sortState>
  <hyperlinks>
    <hyperlink ref="D2" r:id="rId1" display="https://doi.org/10.1063/1.5032006" xr:uid="{ED02974F-7004-481E-A964-6D6102E5DF1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613EE-B625-48DB-86B6-C090DBF8DBD2}">
  <dimension ref="A1:C21"/>
  <sheetViews>
    <sheetView tabSelected="1" workbookViewId="0">
      <selection activeCell="A12" sqref="A12"/>
    </sheetView>
  </sheetViews>
  <sheetFormatPr defaultRowHeight="14.45"/>
  <cols>
    <col min="1" max="1" width="45.5703125" customWidth="1"/>
  </cols>
  <sheetData>
    <row r="1" spans="1:3">
      <c r="A1" s="3" t="s">
        <v>16</v>
      </c>
      <c r="C1" s="1"/>
    </row>
    <row r="2" spans="1:3">
      <c r="A2" s="3" t="s">
        <v>28</v>
      </c>
      <c r="C2" s="3"/>
    </row>
    <row r="3" spans="1:3">
      <c r="A3" s="3" t="s">
        <v>29</v>
      </c>
    </row>
    <row r="4" spans="1:3">
      <c r="A4" s="1" t="s">
        <v>111</v>
      </c>
      <c r="C4" s="1"/>
    </row>
    <row r="5" spans="1:3">
      <c r="A5" s="3" t="s">
        <v>37</v>
      </c>
      <c r="C5" s="3"/>
    </row>
    <row r="6" spans="1:3">
      <c r="A6" s="1" t="s">
        <v>5</v>
      </c>
      <c r="C6" s="3"/>
    </row>
    <row r="7" spans="1:3">
      <c r="A7" s="3" t="s">
        <v>58</v>
      </c>
      <c r="C7" s="3"/>
    </row>
    <row r="8" spans="1:3">
      <c r="A8" s="3" t="s">
        <v>60</v>
      </c>
      <c r="C8" s="3"/>
    </row>
    <row r="9" spans="1:3">
      <c r="A9" s="3" t="s">
        <v>61</v>
      </c>
      <c r="C9" s="3"/>
    </row>
    <row r="10" spans="1:3">
      <c r="A10" s="3" t="s">
        <v>63</v>
      </c>
      <c r="C10" s="3"/>
    </row>
    <row r="11" spans="1:3">
      <c r="A11" s="3" t="s">
        <v>65</v>
      </c>
      <c r="C11" s="3"/>
    </row>
    <row r="12" spans="1:3">
      <c r="A12" s="3" t="s">
        <v>66</v>
      </c>
    </row>
    <row r="13" spans="1:3">
      <c r="A13" s="3" t="s">
        <v>69</v>
      </c>
    </row>
    <row r="14" spans="1:3">
      <c r="A14" s="3" t="s">
        <v>70</v>
      </c>
    </row>
    <row r="15" spans="1:3">
      <c r="A15" t="s">
        <v>112</v>
      </c>
    </row>
    <row r="16" spans="1:3">
      <c r="A16" s="3" t="s">
        <v>93</v>
      </c>
    </row>
    <row r="17" spans="1:1">
      <c r="A17" s="3" t="s">
        <v>94</v>
      </c>
    </row>
    <row r="18" spans="1:1">
      <c r="A18" s="3" t="s">
        <v>95</v>
      </c>
    </row>
    <row r="19" spans="1:1">
      <c r="A19" s="3" t="s">
        <v>96</v>
      </c>
    </row>
    <row r="20" spans="1:1">
      <c r="A20" s="3" t="s">
        <v>104</v>
      </c>
    </row>
    <row r="21" spans="1:1">
      <c r="A21" s="3" t="s">
        <v>106</v>
      </c>
    </row>
  </sheetData>
  <sortState xmlns:xlrd2="http://schemas.microsoft.com/office/spreadsheetml/2017/richdata2" ref="A2:A22">
    <sortCondition ref="A1:A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Keshav Singhal</dc:creator>
  <cp:keywords/>
  <dc:description/>
  <cp:lastModifiedBy/>
  <cp:revision/>
  <dcterms:created xsi:type="dcterms:W3CDTF">2026-03-13T12:27:23Z</dcterms:created>
  <dcterms:modified xsi:type="dcterms:W3CDTF">2026-03-23T17:13:59Z</dcterms:modified>
  <cp:category/>
  <cp:contentStatus/>
</cp:coreProperties>
</file>